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b Budget Tracker" sheetId="1" r:id="rId5"/>
  </sheets>
  <definedNames/>
  <calcPr/>
</workbook>
</file>

<file path=xl/sharedStrings.xml><?xml version="1.0" encoding="utf-8"?>
<sst xmlns="http://schemas.openxmlformats.org/spreadsheetml/2006/main" count="110" uniqueCount="69">
  <si>
    <t>SUMMARY DASHBOARD</t>
  </si>
  <si>
    <t>Metric</t>
  </si>
  <si>
    <t>Amount</t>
  </si>
  <si>
    <t>Description</t>
  </si>
  <si>
    <t>Total Income Received</t>
  </si>
  <si>
    <t>Total money received into club account</t>
  </si>
  <si>
    <t>Total Bills Cleared (Paid)</t>
  </si>
  <si>
    <t>Total amount paid out towards bills</t>
  </si>
  <si>
    <t>Total Bills Pending</t>
  </si>
  <si>
    <t>Total unpaid/outstanding bill balance</t>
  </si>
  <si>
    <t>Net Available Cash</t>
  </si>
  <si>
    <t>Cash currently in hand (Income - Cleared)</t>
  </si>
  <si>
    <t>INCOME TRACKER (MONEY INFLOW)</t>
  </si>
  <si>
    <t>ID</t>
  </si>
  <si>
    <t>Date</t>
  </si>
  <si>
    <t>Source / Contributor</t>
  </si>
  <si>
    <t>Category</t>
  </si>
  <si>
    <t>Amount Received</t>
  </si>
  <si>
    <t>Payment Method</t>
  </si>
  <si>
    <t>Received By</t>
  </si>
  <si>
    <t>Notes / Ref</t>
  </si>
  <si>
    <t>INC-001</t>
  </si>
  <si>
    <t>-</t>
  </si>
  <si>
    <t>INC-002</t>
  </si>
  <si>
    <t>14-09-2026</t>
  </si>
  <si>
    <t>IILM UNIVERSITY</t>
  </si>
  <si>
    <t>T- Shirt Fee</t>
  </si>
  <si>
    <t xml:space="preserve">UPI </t>
  </si>
  <si>
    <t>Treasurer</t>
  </si>
  <si>
    <t>30 members @ 500</t>
  </si>
  <si>
    <t>INC-003</t>
  </si>
  <si>
    <t>INC-004</t>
  </si>
  <si>
    <t>EXPENSES &amp; BILLS TRACKER (MONEY OUTFLOW)</t>
  </si>
  <si>
    <t>Bill Date</t>
  </si>
  <si>
    <t>Expense Description</t>
  </si>
  <si>
    <t>Vendor / Payee</t>
  </si>
  <si>
    <t>Total Bill Amount</t>
  </si>
  <si>
    <t>Amount Cleared (Paid)</t>
  </si>
  <si>
    <t>Amount Pending</t>
  </si>
  <si>
    <t>Status</t>
  </si>
  <si>
    <t>Payment Date</t>
  </si>
  <si>
    <t>Notes / Receipt No.</t>
  </si>
  <si>
    <t>EXP-001</t>
  </si>
  <si>
    <t>Auditorium Hall Booking</t>
  </si>
  <si>
    <t>Venue</t>
  </si>
  <si>
    <t>Campus Facilities</t>
  </si>
  <si>
    <t>Paid</t>
  </si>
  <si>
    <t>Bank Transfer</t>
  </si>
  <si>
    <t>REC-1001</t>
  </si>
  <si>
    <t>EXP-002</t>
  </si>
  <si>
    <t>5000 Advance Paid; 10000 Due</t>
  </si>
  <si>
    <t>EXP-003</t>
  </si>
  <si>
    <t>Banners &amp; Promotional Posters</t>
  </si>
  <si>
    <t>Marketing</t>
  </si>
  <si>
    <t>Quick Print Shop</t>
  </si>
  <si>
    <t>Pending</t>
  </si>
  <si>
    <t>–</t>
  </si>
  <si>
    <t>Bill received; due Sep 25</t>
  </si>
  <si>
    <t>EXP-004</t>
  </si>
  <si>
    <t>Sound System &amp; DJ Rental</t>
  </si>
  <si>
    <t>Equipment</t>
  </si>
  <si>
    <t>Audio Pro Rentals</t>
  </si>
  <si>
    <t>Cash</t>
  </si>
  <si>
    <t>Receipt #402</t>
  </si>
  <si>
    <t>EXP-005</t>
  </si>
  <si>
    <t>Certificates &amp; Trophies</t>
  </si>
  <si>
    <t>Supplies</t>
  </si>
  <si>
    <t>Trophy World</t>
  </si>
  <si>
    <t>Awaiting delivery &amp; bill verification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</si>
</sst>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ill="1" applyFont="1"/>
    <xf borderId="0" fillId="4" fontId="1" numFmtId="164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  <col customWidth="1" min="2" max="2" width="18.5"/>
    <col customWidth="1" min="3" max="3" width="35.88"/>
    <col customWidth="1" min="4" max="4" width="21.13"/>
    <col customWidth="1" min="5" max="5" width="24.75"/>
    <col customWidth="1" min="6" max="6" width="29.88"/>
    <col customWidth="1" min="7" max="7" width="26.75"/>
    <col customWidth="1" min="8" max="8" width="23.63"/>
    <col customWidth="1" min="9" max="9" width="23.38"/>
    <col customWidth="1" min="10" max="10" width="23.88"/>
    <col customWidth="1" min="11" max="11" width="19.88"/>
    <col customWidth="1" min="12" max="12" width="34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4</v>
      </c>
      <c r="B3" s="4">
        <f>SUM(E10:E52)</f>
        <v>15000</v>
      </c>
      <c r="C3" s="3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6</v>
      </c>
      <c r="B4" s="4">
        <f>SUM(G19:G102)</f>
        <v>10000</v>
      </c>
      <c r="C4" s="3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8</v>
      </c>
      <c r="B5" s="4" t="str">
        <f>SUM(H19:H102)</f>
        <v>#VALUE!</v>
      </c>
      <c r="C5" s="3" t="s">
        <v>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10</v>
      </c>
      <c r="B6" s="4">
        <f>B3-B4</f>
        <v>5000</v>
      </c>
      <c r="C6" s="3" t="s">
        <v>11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8">
      <c r="A8" s="1" t="s">
        <v>12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21</v>
      </c>
      <c r="B10" s="3" t="s">
        <v>22</v>
      </c>
      <c r="C10" s="3" t="s">
        <v>22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23</v>
      </c>
      <c r="B11" s="3" t="s">
        <v>24</v>
      </c>
      <c r="C11" s="3" t="s">
        <v>25</v>
      </c>
      <c r="D11" s="3" t="s">
        <v>26</v>
      </c>
      <c r="E11" s="3">
        <v>15000.0</v>
      </c>
      <c r="F11" s="3" t="s">
        <v>27</v>
      </c>
      <c r="G11" s="3" t="s">
        <v>28</v>
      </c>
      <c r="H11" s="3" t="s">
        <v>29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30</v>
      </c>
      <c r="B12" s="3" t="s">
        <v>22</v>
      </c>
      <c r="C12" s="3" t="s">
        <v>22</v>
      </c>
      <c r="D12" s="3" t="s">
        <v>22</v>
      </c>
      <c r="E12" s="3" t="s">
        <v>22</v>
      </c>
      <c r="F12" s="3" t="s">
        <v>22</v>
      </c>
      <c r="G12" s="3" t="s">
        <v>22</v>
      </c>
      <c r="H12" s="3" t="s">
        <v>22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31</v>
      </c>
      <c r="B13" s="3" t="s">
        <v>22</v>
      </c>
      <c r="C13" s="3" t="s">
        <v>22</v>
      </c>
      <c r="D13" s="3" t="s">
        <v>22</v>
      </c>
      <c r="E13" s="3" t="s">
        <v>22</v>
      </c>
      <c r="F13" s="3" t="s">
        <v>22</v>
      </c>
      <c r="G13" s="3" t="s">
        <v>22</v>
      </c>
      <c r="H13" s="3" t="s">
        <v>22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/>
    </row>
    <row r="17">
      <c r="A17" s="1" t="s">
        <v>32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13</v>
      </c>
      <c r="B18" s="6" t="s">
        <v>33</v>
      </c>
      <c r="C18" s="6" t="s">
        <v>34</v>
      </c>
      <c r="D18" s="6" t="s">
        <v>16</v>
      </c>
      <c r="E18" s="6" t="s">
        <v>35</v>
      </c>
      <c r="F18" s="6" t="s">
        <v>36</v>
      </c>
      <c r="G18" s="6" t="s">
        <v>37</v>
      </c>
      <c r="H18" s="6" t="s">
        <v>38</v>
      </c>
      <c r="I18" s="6" t="s">
        <v>39</v>
      </c>
      <c r="J18" s="6" t="s">
        <v>40</v>
      </c>
      <c r="K18" s="6" t="s">
        <v>18</v>
      </c>
      <c r="L18" s="6" t="s">
        <v>41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42</v>
      </c>
      <c r="B19" s="8">
        <v>46267.0</v>
      </c>
      <c r="C19" s="6" t="s">
        <v>43</v>
      </c>
      <c r="D19" s="6" t="s">
        <v>44</v>
      </c>
      <c r="E19" s="6" t="s">
        <v>45</v>
      </c>
      <c r="F19" s="6">
        <v>105275.0</v>
      </c>
      <c r="G19" s="6">
        <v>10000.0</v>
      </c>
      <c r="H19" s="7">
        <f t="shared" ref="H19:H23" si="1">F19-G19</f>
        <v>95275</v>
      </c>
      <c r="I19" s="6" t="s">
        <v>46</v>
      </c>
      <c r="J19" s="8">
        <v>46267.0</v>
      </c>
      <c r="K19" s="6" t="s">
        <v>47</v>
      </c>
      <c r="L19" s="6" t="s">
        <v>48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 t="s">
        <v>49</v>
      </c>
      <c r="B20" s="6" t="s">
        <v>22</v>
      </c>
      <c r="C20" s="6" t="s">
        <v>22</v>
      </c>
      <c r="D20" s="6" t="s">
        <v>22</v>
      </c>
      <c r="E20" s="6" t="s">
        <v>22</v>
      </c>
      <c r="F20" s="6" t="s">
        <v>22</v>
      </c>
      <c r="G20" s="6" t="s">
        <v>22</v>
      </c>
      <c r="H20" s="7" t="str">
        <f t="shared" si="1"/>
        <v>#VALUE!</v>
      </c>
      <c r="I20" s="6" t="s">
        <v>22</v>
      </c>
      <c r="J20" s="6" t="s">
        <v>22</v>
      </c>
      <c r="K20" s="6" t="s">
        <v>22</v>
      </c>
      <c r="L20" s="6" t="s">
        <v>50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 t="s">
        <v>51</v>
      </c>
      <c r="B21" s="8">
        <v>46277.0</v>
      </c>
      <c r="C21" s="6" t="s">
        <v>52</v>
      </c>
      <c r="D21" s="6" t="s">
        <v>53</v>
      </c>
      <c r="E21" s="6" t="s">
        <v>54</v>
      </c>
      <c r="F21" s="6" t="s">
        <v>22</v>
      </c>
      <c r="G21" s="6" t="s">
        <v>22</v>
      </c>
      <c r="H21" s="7" t="str">
        <f t="shared" si="1"/>
        <v>#VALUE!</v>
      </c>
      <c r="I21" s="6" t="s">
        <v>55</v>
      </c>
      <c r="J21" s="7"/>
      <c r="K21" s="6" t="s">
        <v>56</v>
      </c>
      <c r="L21" s="6" t="s">
        <v>57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 t="s">
        <v>58</v>
      </c>
      <c r="B22" s="8">
        <v>46280.0</v>
      </c>
      <c r="C22" s="6" t="s">
        <v>59</v>
      </c>
      <c r="D22" s="6" t="s">
        <v>60</v>
      </c>
      <c r="E22" s="6" t="s">
        <v>61</v>
      </c>
      <c r="F22" s="6" t="s">
        <v>22</v>
      </c>
      <c r="G22" s="6" t="s">
        <v>22</v>
      </c>
      <c r="H22" s="7" t="str">
        <f t="shared" si="1"/>
        <v>#VALUE!</v>
      </c>
      <c r="I22" s="6" t="s">
        <v>46</v>
      </c>
      <c r="J22" s="8">
        <v>46280.0</v>
      </c>
      <c r="K22" s="6" t="s">
        <v>62</v>
      </c>
      <c r="L22" s="6" t="s">
        <v>63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 t="s">
        <v>64</v>
      </c>
      <c r="B23" s="8">
        <v>46283.0</v>
      </c>
      <c r="C23" s="6" t="s">
        <v>65</v>
      </c>
      <c r="D23" s="6" t="s">
        <v>66</v>
      </c>
      <c r="E23" s="6" t="s">
        <v>67</v>
      </c>
      <c r="F23" s="6" t="s">
        <v>22</v>
      </c>
      <c r="G23" s="6" t="s">
        <v>22</v>
      </c>
      <c r="H23" s="7" t="str">
        <f t="shared" si="1"/>
        <v>#VALUE!</v>
      </c>
      <c r="I23" s="6" t="s">
        <v>55</v>
      </c>
      <c r="J23" s="7"/>
      <c r="K23" s="6" t="s">
        <v>56</v>
      </c>
      <c r="L23" s="6" t="s">
        <v>68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</sheetData>
  <drawing r:id="rId1"/>
</worksheet>
</file>